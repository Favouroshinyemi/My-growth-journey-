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68534C91-9039-4C6B-918E-1DD042929FEC}" xr6:coauthVersionLast="47" xr6:coauthVersionMax="47" xr10:uidLastSave="{00000000-0000-0000-0000-000000000000}"/>
  <bookViews>
    <workbookView xWindow="-120" yWindow="-120" windowWidth="20730" windowHeight="11040" activeTab="1" xr2:uid="{5C8A5945-E5CC-49CC-A321-4A352D3FC10A}"/>
  </bookViews>
  <sheets>
    <sheet name="Text Functions" sheetId="2" r:id="rId1"/>
    <sheet name="Date Function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3" l="1"/>
  <c r="F4" i="3"/>
  <c r="C4" i="3"/>
  <c r="F3" i="3"/>
  <c r="C3" i="3"/>
  <c r="F7" i="3" s="1"/>
  <c r="L22" i="2"/>
  <c r="O22" i="2" s="1"/>
  <c r="D22" i="2"/>
  <c r="E22" i="2"/>
  <c r="F22" i="2"/>
  <c r="G22" i="2"/>
  <c r="K22" i="2"/>
  <c r="M22" i="2"/>
  <c r="N22" i="2"/>
  <c r="L21" i="2"/>
  <c r="O21" i="2" s="1"/>
  <c r="D21" i="2"/>
  <c r="E21" i="2"/>
  <c r="F21" i="2"/>
  <c r="G21" i="2"/>
  <c r="K21" i="2"/>
  <c r="M21" i="2"/>
  <c r="N21" i="2"/>
  <c r="L20" i="2"/>
  <c r="O20" i="2" s="1"/>
  <c r="D20" i="2"/>
  <c r="E20" i="2"/>
  <c r="F20" i="2"/>
  <c r="G20" i="2"/>
  <c r="K20" i="2"/>
  <c r="M20" i="2"/>
  <c r="N20" i="2"/>
  <c r="L19" i="2"/>
  <c r="O19" i="2" s="1"/>
  <c r="D19" i="2"/>
  <c r="E19" i="2"/>
  <c r="F19" i="2"/>
  <c r="G19" i="2"/>
  <c r="K19" i="2"/>
  <c r="M19" i="2"/>
  <c r="N19" i="2"/>
  <c r="L18" i="2"/>
  <c r="O18" i="2" s="1"/>
  <c r="D18" i="2"/>
  <c r="E18" i="2"/>
  <c r="F18" i="2"/>
  <c r="G18" i="2"/>
  <c r="K18" i="2"/>
  <c r="M18" i="2"/>
  <c r="N18" i="2"/>
  <c r="L17" i="2"/>
  <c r="O17" i="2"/>
  <c r="D17" i="2"/>
  <c r="E17" i="2"/>
  <c r="F17" i="2"/>
  <c r="G17" i="2"/>
  <c r="K17" i="2"/>
  <c r="M17" i="2"/>
  <c r="N17" i="2"/>
  <c r="L16" i="2"/>
  <c r="O16" i="2" s="1"/>
  <c r="D16" i="2"/>
  <c r="E16" i="2"/>
  <c r="F16" i="2"/>
  <c r="G16" i="2"/>
  <c r="K16" i="2"/>
  <c r="M16" i="2"/>
  <c r="N16" i="2"/>
  <c r="L15" i="2"/>
  <c r="O15" i="2" s="1"/>
  <c r="D15" i="2"/>
  <c r="E15" i="2"/>
  <c r="F15" i="2"/>
  <c r="G15" i="2"/>
  <c r="K15" i="2"/>
  <c r="M15" i="2"/>
  <c r="N15" i="2"/>
  <c r="L14" i="2"/>
  <c r="D14" i="2"/>
  <c r="E14" i="2"/>
  <c r="F14" i="2"/>
  <c r="G14" i="2"/>
  <c r="K14" i="2"/>
  <c r="M14" i="2"/>
  <c r="N14" i="2"/>
  <c r="L13" i="2"/>
  <c r="O13" i="2" s="1"/>
  <c r="D13" i="2"/>
  <c r="E13" i="2"/>
  <c r="F13" i="2"/>
  <c r="G13" i="2"/>
  <c r="K13" i="2"/>
  <c r="M13" i="2"/>
  <c r="N13" i="2"/>
  <c r="A13" i="2"/>
  <c r="A14" i="2"/>
  <c r="A15" i="2"/>
  <c r="A16" i="2" s="1"/>
  <c r="A17" i="2" s="1"/>
  <c r="A18" i="2" s="1"/>
  <c r="A19" i="2" s="1"/>
  <c r="A20" i="2" s="1"/>
  <c r="A21" i="2" s="1"/>
  <c r="A22" i="2" s="1"/>
  <c r="O4" i="2"/>
  <c r="O5" i="2"/>
  <c r="O6" i="2"/>
  <c r="O7" i="2"/>
  <c r="O8" i="2"/>
  <c r="O9" i="2"/>
  <c r="O10" i="2"/>
  <c r="O11" i="2"/>
  <c r="O12" i="2"/>
  <c r="O3" i="2"/>
  <c r="N4" i="2"/>
  <c r="N5" i="2"/>
  <c r="N6" i="2"/>
  <c r="N7" i="2"/>
  <c r="N8" i="2"/>
  <c r="N9" i="2"/>
  <c r="N10" i="2"/>
  <c r="N11" i="2"/>
  <c r="N12" i="2"/>
  <c r="N3" i="2"/>
  <c r="M4" i="2"/>
  <c r="M5" i="2"/>
  <c r="M6" i="2"/>
  <c r="M7" i="2"/>
  <c r="M8" i="2"/>
  <c r="M9" i="2"/>
  <c r="M10" i="2"/>
  <c r="M11" i="2"/>
  <c r="M12" i="2"/>
  <c r="M3" i="2"/>
  <c r="L4" i="2"/>
  <c r="L5" i="2"/>
  <c r="L6" i="2"/>
  <c r="L7" i="2"/>
  <c r="L8" i="2"/>
  <c r="L9" i="2"/>
  <c r="L10" i="2"/>
  <c r="L11" i="2"/>
  <c r="L12" i="2"/>
  <c r="L3" i="2"/>
  <c r="K4" i="2"/>
  <c r="K5" i="2"/>
  <c r="K6" i="2"/>
  <c r="K7" i="2"/>
  <c r="K8" i="2"/>
  <c r="K9" i="2"/>
  <c r="K10" i="2"/>
  <c r="K11" i="2"/>
  <c r="K12" i="2"/>
  <c r="K3" i="2"/>
  <c r="J3" i="2"/>
  <c r="I3" i="2"/>
  <c r="G4" i="2"/>
  <c r="G5" i="2"/>
  <c r="G6" i="2"/>
  <c r="G7" i="2"/>
  <c r="G8" i="2"/>
  <c r="G9" i="2"/>
  <c r="G10" i="2"/>
  <c r="G11" i="2"/>
  <c r="G12" i="2"/>
  <c r="G3" i="2"/>
  <c r="F4" i="2"/>
  <c r="F5" i="2"/>
  <c r="F6" i="2"/>
  <c r="F7" i="2"/>
  <c r="F8" i="2"/>
  <c r="F9" i="2"/>
  <c r="F10" i="2"/>
  <c r="F11" i="2"/>
  <c r="F12" i="2"/>
  <c r="F3" i="2"/>
  <c r="E4" i="2"/>
  <c r="E5" i="2"/>
  <c r="E6" i="2"/>
  <c r="E7" i="2"/>
  <c r="E8" i="2"/>
  <c r="E9" i="2"/>
  <c r="E10" i="2"/>
  <c r="E11" i="2"/>
  <c r="E12" i="2"/>
  <c r="E3" i="2"/>
  <c r="D4" i="2"/>
  <c r="D5" i="2"/>
  <c r="D6" i="2"/>
  <c r="D7" i="2"/>
  <c r="D8" i="2"/>
  <c r="D9" i="2"/>
  <c r="D10" i="2"/>
  <c r="D11" i="2"/>
  <c r="D12" i="2"/>
  <c r="D3" i="2"/>
  <c r="A4" i="2"/>
  <c r="A5" i="2" s="1"/>
  <c r="A6" i="2" s="1"/>
  <c r="A7" i="2" s="1"/>
  <c r="A8" i="2" s="1"/>
  <c r="A9" i="2" s="1"/>
  <c r="A10" i="2" s="1"/>
  <c r="A11" i="2" s="1"/>
  <c r="A12" i="2" s="1"/>
  <c r="D3" i="3" l="1"/>
  <c r="K3" i="3"/>
  <c r="H3" i="3"/>
  <c r="I3" i="3"/>
  <c r="J3" i="3"/>
  <c r="F6" i="3"/>
  <c r="O14" i="2"/>
</calcChain>
</file>

<file path=xl/sharedStrings.xml><?xml version="1.0" encoding="utf-8"?>
<sst xmlns="http://schemas.openxmlformats.org/spreadsheetml/2006/main" count="66" uniqueCount="66">
  <si>
    <t>S/N</t>
  </si>
  <si>
    <t>Last Name</t>
  </si>
  <si>
    <t>FavOUR</t>
  </si>
  <si>
    <t>dArAmOlA</t>
  </si>
  <si>
    <t>FaiTH</t>
  </si>
  <si>
    <t>oLAJUWOn</t>
  </si>
  <si>
    <t>MARY</t>
  </si>
  <si>
    <t>muyiWA</t>
  </si>
  <si>
    <t>dANIEl</t>
  </si>
  <si>
    <t>ADEmola</t>
  </si>
  <si>
    <t>zara</t>
  </si>
  <si>
    <t>TeMiloLUWA</t>
  </si>
  <si>
    <t>meRcy</t>
  </si>
  <si>
    <t>PEACE</t>
  </si>
  <si>
    <t>GLORY</t>
  </si>
  <si>
    <t>grace</t>
  </si>
  <si>
    <t>dappa</t>
  </si>
  <si>
    <t>kemi</t>
  </si>
  <si>
    <t>zioN</t>
  </si>
  <si>
    <t>FoLa</t>
  </si>
  <si>
    <t>LEN</t>
  </si>
  <si>
    <t>LEFT(3)</t>
  </si>
  <si>
    <t>RIGHT(3)</t>
  </si>
  <si>
    <t>oKeOLA</t>
  </si>
  <si>
    <t>MID(3)</t>
  </si>
  <si>
    <t>TRIM</t>
  </si>
  <si>
    <t xml:space="preserve">   FAvouR</t>
  </si>
  <si>
    <t>REPLACE</t>
  </si>
  <si>
    <t>PROPER(LAST NAME)</t>
  </si>
  <si>
    <t>FIRST NAME</t>
  </si>
  <si>
    <t>PROPER(FIRST NAME)</t>
  </si>
  <si>
    <t>LOWER(FIRST NAME)</t>
  </si>
  <si>
    <t>CONCAT(PROPER F&amp;L)</t>
  </si>
  <si>
    <t>TEXT FUNCTIONS</t>
  </si>
  <si>
    <t>UPPER(FIRST NAME)</t>
  </si>
  <si>
    <t>PRAISE</t>
  </si>
  <si>
    <t>worshiP</t>
  </si>
  <si>
    <t>OgundeLE</t>
  </si>
  <si>
    <t>zoBa</t>
  </si>
  <si>
    <t>cHiNAza</t>
  </si>
  <si>
    <t>jennIfer</t>
  </si>
  <si>
    <t>OKoyE</t>
  </si>
  <si>
    <t>EnioLa</t>
  </si>
  <si>
    <t>progress</t>
  </si>
  <si>
    <t>naYa</t>
  </si>
  <si>
    <t>OKORO</t>
  </si>
  <si>
    <t>abby</t>
  </si>
  <si>
    <t>toluLOPE</t>
  </si>
  <si>
    <t>DaMilolA</t>
  </si>
  <si>
    <t>MiCheal</t>
  </si>
  <si>
    <t>FrAnK</t>
  </si>
  <si>
    <t>EdWaRd</t>
  </si>
  <si>
    <t>Oviri</t>
  </si>
  <si>
    <t>edna</t>
  </si>
  <si>
    <t>aDekunLE</t>
  </si>
  <si>
    <t>aDeayO</t>
  </si>
  <si>
    <t>DATE FUNCTIONS</t>
  </si>
  <si>
    <t>DATE</t>
  </si>
  <si>
    <t>TODAY DATE</t>
  </si>
  <si>
    <t>DATE PART</t>
  </si>
  <si>
    <t>EDATE</t>
  </si>
  <si>
    <t>EOMONTH</t>
  </si>
  <si>
    <t>NETWORKDAY</t>
  </si>
  <si>
    <t>WORKDAY</t>
  </si>
  <si>
    <t>22/01/2026</t>
  </si>
  <si>
    <t>24/06/2026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</si>
</sst>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4" borderId="0" applyNumberFormat="0" applyBorder="0" applyAlignment="0" applyProtection="0"/>
    <xf numFmtId="0" fontId="4" fillId="5" borderId="0" applyNumberFormat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3" fillId="3" borderId="0" xfId="0" applyFont="1" applyFill="1" applyAlignment="1">
      <alignment horizontal="center"/>
    </xf>
    <xf numFmtId="164" fontId="0" fillId="0" borderId="0" xfId="0" applyNumberFormat="1"/>
    <xf numFmtId="0" fontId="2" fillId="4" borderId="0" xfId="1"/>
    <xf numFmtId="0" fontId="4" fillId="5" borderId="0" xfId="2"/>
  </cellXfs>
  <cellStyles count="3">
    <cellStyle name="20% - Accent3" xfId="2" builtinId="38"/>
    <cellStyle name="Accent3" xfId="1" builtinId="37"/>
    <cellStyle name="Normal" xfId="0" builtinId="0"/>
  </cellStyles>
  <dxfs count="0"/>
  <tableStyles count="0" defaultTableStyle="TableStyleMedium2" defaultPivotStyle="PivotStyleLight16"/>
  <colors>
    <mruColors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5AEFE-6ED5-4C8A-9C19-F471564DB4FB}">
  <dimension ref="A1:O22"/>
  <sheetViews>
    <sheetView zoomScale="94" workbookViewId="0">
      <selection activeCell="I5" sqref="I5"/>
    </sheetView>
  </sheetViews>
  <sheetFormatPr defaultRowHeight="15" x14ac:dyDescent="0.25"/>
  <cols>
    <col min="2" max="2" width="12.7109375" customWidth="1"/>
    <col min="3" max="3" width="11.140625" customWidth="1"/>
    <col min="11" max="11" width="21.28515625" customWidth="1"/>
    <col min="12" max="12" width="20.42578125" customWidth="1"/>
    <col min="13" max="13" width="23" customWidth="1"/>
    <col min="14" max="14" width="19.28515625" customWidth="1"/>
    <col min="15" max="15" width="20.85546875" customWidth="1"/>
  </cols>
  <sheetData>
    <row r="1" spans="1:15" ht="23.25" x14ac:dyDescent="0.35">
      <c r="A1" s="2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1" t="s">
        <v>0</v>
      </c>
      <c r="B2" s="1" t="s">
        <v>29</v>
      </c>
      <c r="C2" s="1" t="s">
        <v>1</v>
      </c>
      <c r="D2" s="1" t="s">
        <v>20</v>
      </c>
      <c r="E2" s="1" t="s">
        <v>21</v>
      </c>
      <c r="F2" s="1" t="s">
        <v>22</v>
      </c>
      <c r="G2" s="1" t="s">
        <v>24</v>
      </c>
      <c r="H2" s="1" t="s">
        <v>25</v>
      </c>
      <c r="I2" s="1"/>
      <c r="J2" s="1" t="s">
        <v>27</v>
      </c>
      <c r="K2" s="1" t="s">
        <v>30</v>
      </c>
      <c r="L2" s="1" t="s">
        <v>28</v>
      </c>
      <c r="M2" s="1" t="s">
        <v>31</v>
      </c>
      <c r="N2" s="1" t="s">
        <v>34</v>
      </c>
      <c r="O2" s="1" t="s">
        <v>32</v>
      </c>
    </row>
    <row r="3" spans="1:15" x14ac:dyDescent="0.25">
      <c r="A3">
        <v>1</v>
      </c>
      <c r="B3" t="s">
        <v>2</v>
      </c>
      <c r="C3" t="s">
        <v>3</v>
      </c>
      <c r="D3">
        <f>LEN(B3)</f>
        <v>6</v>
      </c>
      <c r="E3" t="str">
        <f t="shared" ref="E3:E22" si="0">LEFT(B3,3)</f>
        <v>Fav</v>
      </c>
      <c r="F3" t="str">
        <f>RIGHT(B3,3)</f>
        <v>OUR</v>
      </c>
      <c r="G3" t="str">
        <f>MID(B3,3,3)</f>
        <v>vOU</v>
      </c>
      <c r="H3" t="s">
        <v>26</v>
      </c>
      <c r="I3" t="str">
        <f>TRIM(H3)</f>
        <v>FAvouR</v>
      </c>
      <c r="J3" t="str">
        <f>REPLACE(B3,1,3,"JAV")</f>
        <v>JAVOUR</v>
      </c>
      <c r="K3" t="str">
        <f>PROPER(B3)</f>
        <v>Favour</v>
      </c>
      <c r="L3" t="str">
        <f>PROPER(C3)</f>
        <v>Daramola</v>
      </c>
      <c r="M3" t="str">
        <f>LOWER(B3)</f>
        <v>favour</v>
      </c>
      <c r="N3" t="str">
        <f>UPPER(B3)</f>
        <v>FAVOUR</v>
      </c>
      <c r="O3" t="str">
        <f>_xlfn.CONCAT(K3, " ",L3)</f>
        <v>Favour Daramola</v>
      </c>
    </row>
    <row r="4" spans="1:15" x14ac:dyDescent="0.25">
      <c r="A4">
        <f>A3+1</f>
        <v>2</v>
      </c>
      <c r="B4" t="s">
        <v>23</v>
      </c>
      <c r="C4" t="s">
        <v>4</v>
      </c>
      <c r="D4">
        <f t="shared" ref="D4:D22" si="1">LEN(B4)</f>
        <v>6</v>
      </c>
      <c r="E4" t="str">
        <f t="shared" si="0"/>
        <v>oKe</v>
      </c>
      <c r="F4" t="str">
        <f t="shared" ref="F4:F22" si="2">RIGHT(B4,3)</f>
        <v>OLA</v>
      </c>
      <c r="G4" t="str">
        <f t="shared" ref="G4:G22" si="3">MID(B4,3,3)</f>
        <v>eOL</v>
      </c>
      <c r="K4" t="str">
        <f t="shared" ref="K4:K22" si="4">PROPER(B4)</f>
        <v>Okeola</v>
      </c>
      <c r="L4" t="str">
        <f t="shared" ref="L4:L22" si="5">PROPER(C4)</f>
        <v>Faith</v>
      </c>
      <c r="M4" t="str">
        <f t="shared" ref="M4:M22" si="6">LOWER(B4)</f>
        <v>okeola</v>
      </c>
      <c r="N4" t="str">
        <f t="shared" ref="N4:N22" si="7">UPPER(B4)</f>
        <v>OKEOLA</v>
      </c>
      <c r="O4" t="str">
        <f t="shared" ref="O4:O22" si="8">_xlfn.CONCAT(K4, " ",L4)</f>
        <v>Okeola Faith</v>
      </c>
    </row>
    <row r="5" spans="1:15" x14ac:dyDescent="0.25">
      <c r="A5">
        <f t="shared" ref="A5:A22" si="9">A4+1</f>
        <v>3</v>
      </c>
      <c r="B5" t="s">
        <v>5</v>
      </c>
      <c r="C5" t="s">
        <v>6</v>
      </c>
      <c r="D5">
        <f t="shared" si="1"/>
        <v>8</v>
      </c>
      <c r="E5" t="str">
        <f t="shared" si="0"/>
        <v>oLA</v>
      </c>
      <c r="F5" t="str">
        <f t="shared" si="2"/>
        <v>WOn</v>
      </c>
      <c r="G5" t="str">
        <f t="shared" si="3"/>
        <v>AJU</v>
      </c>
      <c r="K5" t="str">
        <f t="shared" si="4"/>
        <v>Olajuwon</v>
      </c>
      <c r="L5" t="str">
        <f t="shared" si="5"/>
        <v>Mary</v>
      </c>
      <c r="M5" t="str">
        <f t="shared" si="6"/>
        <v>olajuwon</v>
      </c>
      <c r="N5" t="str">
        <f t="shared" si="7"/>
        <v>OLAJUWON</v>
      </c>
      <c r="O5" t="str">
        <f t="shared" si="8"/>
        <v>Olajuwon Mary</v>
      </c>
    </row>
    <row r="6" spans="1:15" x14ac:dyDescent="0.25">
      <c r="A6">
        <f t="shared" si="9"/>
        <v>4</v>
      </c>
      <c r="B6" t="s">
        <v>7</v>
      </c>
      <c r="C6" t="s">
        <v>8</v>
      </c>
      <c r="D6">
        <f t="shared" si="1"/>
        <v>6</v>
      </c>
      <c r="E6" t="str">
        <f t="shared" si="0"/>
        <v>muy</v>
      </c>
      <c r="F6" t="str">
        <f t="shared" si="2"/>
        <v>iWA</v>
      </c>
      <c r="G6" t="str">
        <f t="shared" si="3"/>
        <v>yiW</v>
      </c>
      <c r="K6" t="str">
        <f t="shared" si="4"/>
        <v>Muyiwa</v>
      </c>
      <c r="L6" t="str">
        <f t="shared" si="5"/>
        <v>Daniel</v>
      </c>
      <c r="M6" t="str">
        <f t="shared" si="6"/>
        <v>muyiwa</v>
      </c>
      <c r="N6" t="str">
        <f t="shared" si="7"/>
        <v>MUYIWA</v>
      </c>
      <c r="O6" t="str">
        <f t="shared" si="8"/>
        <v>Muyiwa Daniel</v>
      </c>
    </row>
    <row r="7" spans="1:15" x14ac:dyDescent="0.25">
      <c r="A7">
        <f t="shared" si="9"/>
        <v>5</v>
      </c>
      <c r="B7" t="s">
        <v>9</v>
      </c>
      <c r="C7" t="s">
        <v>10</v>
      </c>
      <c r="D7">
        <f t="shared" si="1"/>
        <v>7</v>
      </c>
      <c r="E7" t="str">
        <f t="shared" si="0"/>
        <v>ADE</v>
      </c>
      <c r="F7" t="str">
        <f t="shared" si="2"/>
        <v>ola</v>
      </c>
      <c r="G7" t="str">
        <f t="shared" si="3"/>
        <v>Emo</v>
      </c>
      <c r="K7" t="str">
        <f t="shared" si="4"/>
        <v>Ademola</v>
      </c>
      <c r="L7" t="str">
        <f t="shared" si="5"/>
        <v>Zara</v>
      </c>
      <c r="M7" t="str">
        <f t="shared" si="6"/>
        <v>ademola</v>
      </c>
      <c r="N7" t="str">
        <f t="shared" si="7"/>
        <v>ADEMOLA</v>
      </c>
      <c r="O7" t="str">
        <f t="shared" si="8"/>
        <v>Ademola Zara</v>
      </c>
    </row>
    <row r="8" spans="1:15" x14ac:dyDescent="0.25">
      <c r="A8">
        <f t="shared" si="9"/>
        <v>6</v>
      </c>
      <c r="B8" t="s">
        <v>11</v>
      </c>
      <c r="C8" t="s">
        <v>12</v>
      </c>
      <c r="D8">
        <f t="shared" si="1"/>
        <v>10</v>
      </c>
      <c r="E8" t="str">
        <f t="shared" si="0"/>
        <v>TeM</v>
      </c>
      <c r="F8" t="str">
        <f t="shared" si="2"/>
        <v>UWA</v>
      </c>
      <c r="G8" t="str">
        <f t="shared" si="3"/>
        <v>Mil</v>
      </c>
      <c r="K8" t="str">
        <f t="shared" si="4"/>
        <v>Temiloluwa</v>
      </c>
      <c r="L8" t="str">
        <f t="shared" si="5"/>
        <v>Mercy</v>
      </c>
      <c r="M8" t="str">
        <f t="shared" si="6"/>
        <v>temiloluwa</v>
      </c>
      <c r="N8" t="str">
        <f t="shared" si="7"/>
        <v>TEMILOLUWA</v>
      </c>
      <c r="O8" t="str">
        <f t="shared" si="8"/>
        <v>Temiloluwa Mercy</v>
      </c>
    </row>
    <row r="9" spans="1:15" x14ac:dyDescent="0.25">
      <c r="A9">
        <f t="shared" si="9"/>
        <v>7</v>
      </c>
      <c r="B9" t="s">
        <v>19</v>
      </c>
      <c r="C9" t="s">
        <v>13</v>
      </c>
      <c r="D9">
        <f t="shared" si="1"/>
        <v>4</v>
      </c>
      <c r="E9" t="str">
        <f t="shared" si="0"/>
        <v>FoL</v>
      </c>
      <c r="F9" t="str">
        <f t="shared" si="2"/>
        <v>oLa</v>
      </c>
      <c r="G9" t="str">
        <f t="shared" si="3"/>
        <v>La</v>
      </c>
      <c r="K9" t="str">
        <f t="shared" si="4"/>
        <v>Fola</v>
      </c>
      <c r="L9" t="str">
        <f t="shared" si="5"/>
        <v>Peace</v>
      </c>
      <c r="M9" t="str">
        <f t="shared" si="6"/>
        <v>fola</v>
      </c>
      <c r="N9" t="str">
        <f t="shared" si="7"/>
        <v>FOLA</v>
      </c>
      <c r="O9" t="str">
        <f t="shared" si="8"/>
        <v>Fola Peace</v>
      </c>
    </row>
    <row r="10" spans="1:15" x14ac:dyDescent="0.25">
      <c r="A10">
        <f t="shared" si="9"/>
        <v>8</v>
      </c>
      <c r="B10" t="s">
        <v>14</v>
      </c>
      <c r="C10" t="s">
        <v>15</v>
      </c>
      <c r="D10">
        <f t="shared" si="1"/>
        <v>5</v>
      </c>
      <c r="E10" t="str">
        <f t="shared" si="0"/>
        <v>GLO</v>
      </c>
      <c r="F10" t="str">
        <f t="shared" si="2"/>
        <v>ORY</v>
      </c>
      <c r="G10" t="str">
        <f t="shared" si="3"/>
        <v>ORY</v>
      </c>
      <c r="K10" t="str">
        <f t="shared" si="4"/>
        <v>Glory</v>
      </c>
      <c r="L10" t="str">
        <f t="shared" si="5"/>
        <v>Grace</v>
      </c>
      <c r="M10" t="str">
        <f t="shared" si="6"/>
        <v>glory</v>
      </c>
      <c r="N10" t="str">
        <f t="shared" si="7"/>
        <v>GLORY</v>
      </c>
      <c r="O10" t="str">
        <f t="shared" si="8"/>
        <v>Glory Grace</v>
      </c>
    </row>
    <row r="11" spans="1:15" x14ac:dyDescent="0.25">
      <c r="A11">
        <f t="shared" si="9"/>
        <v>9</v>
      </c>
      <c r="B11" t="s">
        <v>49</v>
      </c>
      <c r="C11" t="s">
        <v>16</v>
      </c>
      <c r="D11">
        <f t="shared" si="1"/>
        <v>7</v>
      </c>
      <c r="E11" t="str">
        <f t="shared" si="0"/>
        <v>MiC</v>
      </c>
      <c r="F11" t="str">
        <f t="shared" si="2"/>
        <v>eal</v>
      </c>
      <c r="G11" t="str">
        <f t="shared" si="3"/>
        <v>Che</v>
      </c>
      <c r="K11" t="str">
        <f t="shared" si="4"/>
        <v>Micheal</v>
      </c>
      <c r="L11" t="str">
        <f t="shared" si="5"/>
        <v>Dappa</v>
      </c>
      <c r="M11" t="str">
        <f t="shared" si="6"/>
        <v>micheal</v>
      </c>
      <c r="N11" t="str">
        <f t="shared" si="7"/>
        <v>MICHEAL</v>
      </c>
      <c r="O11" t="str">
        <f t="shared" si="8"/>
        <v>Micheal Dappa</v>
      </c>
    </row>
    <row r="12" spans="1:15" x14ac:dyDescent="0.25">
      <c r="A12">
        <f t="shared" si="9"/>
        <v>10</v>
      </c>
      <c r="B12" t="s">
        <v>17</v>
      </c>
      <c r="C12" t="s">
        <v>18</v>
      </c>
      <c r="D12">
        <f t="shared" si="1"/>
        <v>4</v>
      </c>
      <c r="E12" t="str">
        <f t="shared" si="0"/>
        <v>kem</v>
      </c>
      <c r="F12" t="str">
        <f t="shared" si="2"/>
        <v>emi</v>
      </c>
      <c r="G12" t="str">
        <f t="shared" si="3"/>
        <v>mi</v>
      </c>
      <c r="K12" t="str">
        <f t="shared" si="4"/>
        <v>Kemi</v>
      </c>
      <c r="L12" t="str">
        <f t="shared" si="5"/>
        <v>Zion</v>
      </c>
      <c r="M12" t="str">
        <f t="shared" si="6"/>
        <v>kemi</v>
      </c>
      <c r="N12" t="str">
        <f t="shared" si="7"/>
        <v>KEMI</v>
      </c>
      <c r="O12" t="str">
        <f t="shared" si="8"/>
        <v>Kemi Zion</v>
      </c>
    </row>
    <row r="13" spans="1:15" x14ac:dyDescent="0.25">
      <c r="A13">
        <f t="shared" si="9"/>
        <v>11</v>
      </c>
      <c r="B13" t="s">
        <v>35</v>
      </c>
      <c r="C13" t="s">
        <v>36</v>
      </c>
      <c r="D13">
        <f t="shared" si="1"/>
        <v>6</v>
      </c>
      <c r="E13" t="str">
        <f t="shared" si="0"/>
        <v>PRA</v>
      </c>
      <c r="F13" t="str">
        <f t="shared" si="2"/>
        <v>ISE</v>
      </c>
      <c r="G13" t="str">
        <f t="shared" si="3"/>
        <v>AIS</v>
      </c>
      <c r="K13" t="str">
        <f t="shared" si="4"/>
        <v>Praise</v>
      </c>
      <c r="L13" t="str">
        <f t="shared" si="5"/>
        <v>Worship</v>
      </c>
      <c r="M13" t="str">
        <f t="shared" si="6"/>
        <v>praise</v>
      </c>
      <c r="N13" t="str">
        <f t="shared" si="7"/>
        <v>PRAISE</v>
      </c>
      <c r="O13" t="str">
        <f t="shared" si="8"/>
        <v>Praise Worship</v>
      </c>
    </row>
    <row r="14" spans="1:15" x14ac:dyDescent="0.25">
      <c r="A14">
        <f t="shared" si="9"/>
        <v>12</v>
      </c>
      <c r="B14" t="s">
        <v>48</v>
      </c>
      <c r="C14" t="s">
        <v>37</v>
      </c>
      <c r="D14">
        <f t="shared" si="1"/>
        <v>8</v>
      </c>
      <c r="E14" t="str">
        <f t="shared" si="0"/>
        <v>DaM</v>
      </c>
      <c r="F14" t="str">
        <f t="shared" si="2"/>
        <v>olA</v>
      </c>
      <c r="G14" t="str">
        <f t="shared" si="3"/>
        <v>Mil</v>
      </c>
      <c r="K14" t="str">
        <f t="shared" si="4"/>
        <v>Damilola</v>
      </c>
      <c r="L14" t="str">
        <f t="shared" si="5"/>
        <v>Ogundele</v>
      </c>
      <c r="M14" t="str">
        <f t="shared" si="6"/>
        <v>damilola</v>
      </c>
      <c r="N14" t="str">
        <f t="shared" si="7"/>
        <v>DAMILOLA</v>
      </c>
      <c r="O14" t="str">
        <f t="shared" si="8"/>
        <v>Damilola Ogundele</v>
      </c>
    </row>
    <row r="15" spans="1:15" x14ac:dyDescent="0.25">
      <c r="A15">
        <f t="shared" si="9"/>
        <v>13</v>
      </c>
      <c r="B15" t="s">
        <v>38</v>
      </c>
      <c r="C15" t="s">
        <v>39</v>
      </c>
      <c r="D15">
        <f t="shared" si="1"/>
        <v>4</v>
      </c>
      <c r="E15" t="str">
        <f t="shared" si="0"/>
        <v>zoB</v>
      </c>
      <c r="F15" t="str">
        <f t="shared" si="2"/>
        <v>oBa</v>
      </c>
      <c r="G15" t="str">
        <f t="shared" si="3"/>
        <v>Ba</v>
      </c>
      <c r="K15" t="str">
        <f t="shared" si="4"/>
        <v>Zoba</v>
      </c>
      <c r="L15" t="str">
        <f t="shared" si="5"/>
        <v>Chinaza</v>
      </c>
      <c r="M15" t="str">
        <f t="shared" si="6"/>
        <v>zoba</v>
      </c>
      <c r="N15" t="str">
        <f t="shared" si="7"/>
        <v>ZOBA</v>
      </c>
      <c r="O15" t="str">
        <f t="shared" si="8"/>
        <v>Zoba Chinaza</v>
      </c>
    </row>
    <row r="16" spans="1:15" x14ac:dyDescent="0.25">
      <c r="A16">
        <f t="shared" si="9"/>
        <v>14</v>
      </c>
      <c r="B16" t="s">
        <v>40</v>
      </c>
      <c r="C16" t="s">
        <v>41</v>
      </c>
      <c r="D16">
        <f t="shared" si="1"/>
        <v>8</v>
      </c>
      <c r="E16" t="str">
        <f t="shared" si="0"/>
        <v>jen</v>
      </c>
      <c r="F16" t="str">
        <f t="shared" si="2"/>
        <v>fer</v>
      </c>
      <c r="G16" t="str">
        <f t="shared" si="3"/>
        <v>nnI</v>
      </c>
      <c r="K16" t="str">
        <f t="shared" si="4"/>
        <v>Jennifer</v>
      </c>
      <c r="L16" t="str">
        <f t="shared" si="5"/>
        <v>Okoye</v>
      </c>
      <c r="M16" t="str">
        <f t="shared" si="6"/>
        <v>jennifer</v>
      </c>
      <c r="N16" t="str">
        <f t="shared" si="7"/>
        <v>JENNIFER</v>
      </c>
      <c r="O16" t="str">
        <f t="shared" si="8"/>
        <v>Jennifer Okoye</v>
      </c>
    </row>
    <row r="17" spans="1:15" x14ac:dyDescent="0.25">
      <c r="A17">
        <f t="shared" si="9"/>
        <v>15</v>
      </c>
      <c r="B17" t="s">
        <v>42</v>
      </c>
      <c r="C17" t="s">
        <v>43</v>
      </c>
      <c r="D17">
        <f t="shared" si="1"/>
        <v>6</v>
      </c>
      <c r="E17" t="str">
        <f t="shared" si="0"/>
        <v>Eni</v>
      </c>
      <c r="F17" t="str">
        <f t="shared" si="2"/>
        <v>oLa</v>
      </c>
      <c r="G17" t="str">
        <f t="shared" si="3"/>
        <v>ioL</v>
      </c>
      <c r="K17" t="str">
        <f t="shared" si="4"/>
        <v>Eniola</v>
      </c>
      <c r="L17" t="str">
        <f t="shared" si="5"/>
        <v>Progress</v>
      </c>
      <c r="M17" t="str">
        <f t="shared" si="6"/>
        <v>eniola</v>
      </c>
      <c r="N17" t="str">
        <f t="shared" si="7"/>
        <v>ENIOLA</v>
      </c>
      <c r="O17" t="str">
        <f t="shared" si="8"/>
        <v>Eniola Progress</v>
      </c>
    </row>
    <row r="18" spans="1:15" x14ac:dyDescent="0.25">
      <c r="A18">
        <f t="shared" si="9"/>
        <v>16</v>
      </c>
      <c r="B18" t="s">
        <v>44</v>
      </c>
      <c r="C18" t="s">
        <v>45</v>
      </c>
      <c r="D18">
        <f t="shared" si="1"/>
        <v>4</v>
      </c>
      <c r="E18" t="str">
        <f t="shared" si="0"/>
        <v>naY</v>
      </c>
      <c r="F18" t="str">
        <f t="shared" si="2"/>
        <v>aYa</v>
      </c>
      <c r="G18" t="str">
        <f t="shared" si="3"/>
        <v>Ya</v>
      </c>
      <c r="K18" t="str">
        <f t="shared" si="4"/>
        <v>Naya</v>
      </c>
      <c r="L18" t="str">
        <f t="shared" si="5"/>
        <v>Okoro</v>
      </c>
      <c r="M18" t="str">
        <f t="shared" si="6"/>
        <v>naya</v>
      </c>
      <c r="N18" t="str">
        <f t="shared" si="7"/>
        <v>NAYA</v>
      </c>
      <c r="O18" t="str">
        <f t="shared" si="8"/>
        <v>Naya Okoro</v>
      </c>
    </row>
    <row r="19" spans="1:15" x14ac:dyDescent="0.25">
      <c r="A19">
        <f t="shared" si="9"/>
        <v>17</v>
      </c>
      <c r="B19" t="s">
        <v>46</v>
      </c>
      <c r="C19" t="s">
        <v>47</v>
      </c>
      <c r="D19">
        <f t="shared" si="1"/>
        <v>4</v>
      </c>
      <c r="E19" t="str">
        <f t="shared" si="0"/>
        <v>abb</v>
      </c>
      <c r="F19" t="str">
        <f t="shared" si="2"/>
        <v>bby</v>
      </c>
      <c r="G19" t="str">
        <f t="shared" si="3"/>
        <v>by</v>
      </c>
      <c r="K19" t="str">
        <f t="shared" si="4"/>
        <v>Abby</v>
      </c>
      <c r="L19" t="str">
        <f t="shared" si="5"/>
        <v>Tolulope</v>
      </c>
      <c r="M19" t="str">
        <f t="shared" si="6"/>
        <v>abby</v>
      </c>
      <c r="N19" t="str">
        <f t="shared" si="7"/>
        <v>ABBY</v>
      </c>
      <c r="O19" t="str">
        <f t="shared" si="8"/>
        <v>Abby Tolulope</v>
      </c>
    </row>
    <row r="20" spans="1:15" x14ac:dyDescent="0.25">
      <c r="A20">
        <f t="shared" si="9"/>
        <v>18</v>
      </c>
      <c r="B20" t="s">
        <v>50</v>
      </c>
      <c r="C20" t="s">
        <v>51</v>
      </c>
      <c r="D20">
        <f t="shared" si="1"/>
        <v>5</v>
      </c>
      <c r="E20" t="str">
        <f t="shared" si="0"/>
        <v>FrA</v>
      </c>
      <c r="F20" t="str">
        <f t="shared" si="2"/>
        <v>AnK</v>
      </c>
      <c r="G20" t="str">
        <f t="shared" si="3"/>
        <v>AnK</v>
      </c>
      <c r="K20" t="str">
        <f t="shared" si="4"/>
        <v>Frank</v>
      </c>
      <c r="L20" t="str">
        <f t="shared" si="5"/>
        <v>Edward</v>
      </c>
      <c r="M20" t="str">
        <f t="shared" si="6"/>
        <v>frank</v>
      </c>
      <c r="N20" t="str">
        <f t="shared" si="7"/>
        <v>FRANK</v>
      </c>
      <c r="O20" t="str">
        <f t="shared" si="8"/>
        <v>Frank Edward</v>
      </c>
    </row>
    <row r="21" spans="1:15" x14ac:dyDescent="0.25">
      <c r="A21">
        <f t="shared" si="9"/>
        <v>19</v>
      </c>
      <c r="B21" t="s">
        <v>52</v>
      </c>
      <c r="C21" t="s">
        <v>53</v>
      </c>
      <c r="D21">
        <f t="shared" si="1"/>
        <v>5</v>
      </c>
      <c r="E21" t="str">
        <f t="shared" si="0"/>
        <v>Ovi</v>
      </c>
      <c r="F21" t="str">
        <f t="shared" si="2"/>
        <v>iri</v>
      </c>
      <c r="G21" t="str">
        <f t="shared" si="3"/>
        <v>iri</v>
      </c>
      <c r="K21" t="str">
        <f t="shared" si="4"/>
        <v>Oviri</v>
      </c>
      <c r="L21" t="str">
        <f t="shared" si="5"/>
        <v>Edna</v>
      </c>
      <c r="M21" t="str">
        <f t="shared" si="6"/>
        <v>oviri</v>
      </c>
      <c r="N21" t="str">
        <f t="shared" si="7"/>
        <v>OVIRI</v>
      </c>
      <c r="O21" t="str">
        <f t="shared" si="8"/>
        <v>Oviri Edna</v>
      </c>
    </row>
    <row r="22" spans="1:15" x14ac:dyDescent="0.25">
      <c r="A22">
        <f t="shared" si="9"/>
        <v>20</v>
      </c>
      <c r="B22" t="s">
        <v>54</v>
      </c>
      <c r="C22" t="s">
        <v>55</v>
      </c>
      <c r="D22">
        <f t="shared" si="1"/>
        <v>8</v>
      </c>
      <c r="E22" t="str">
        <f t="shared" si="0"/>
        <v>aDe</v>
      </c>
      <c r="F22" t="str">
        <f t="shared" si="2"/>
        <v>nLE</v>
      </c>
      <c r="G22" t="str">
        <f t="shared" si="3"/>
        <v>eku</v>
      </c>
      <c r="K22" t="str">
        <f t="shared" si="4"/>
        <v>Adekunle</v>
      </c>
      <c r="L22" t="str">
        <f t="shared" si="5"/>
        <v>Adeayo</v>
      </c>
      <c r="M22" t="str">
        <f t="shared" si="6"/>
        <v>adekunle</v>
      </c>
      <c r="N22" t="str">
        <f t="shared" si="7"/>
        <v>ADEKUNLE</v>
      </c>
      <c r="O22" t="str">
        <f t="shared" si="8"/>
        <v>Adekunle Adeayo</v>
      </c>
    </row>
  </sheetData>
  <mergeCells count="1">
    <mergeCell ref="A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4987-62AD-4375-BA8C-985438D97C67}">
  <dimension ref="B1:K7"/>
  <sheetViews>
    <sheetView tabSelected="1" workbookViewId="0">
      <selection activeCell="E8" sqref="E8"/>
    </sheetView>
  </sheetViews>
  <sheetFormatPr defaultRowHeight="15" x14ac:dyDescent="0.25"/>
  <cols>
    <col min="2" max="2" width="10.7109375" bestFit="1" customWidth="1"/>
    <col min="3" max="3" width="15.85546875" bestFit="1" customWidth="1"/>
    <col min="6" max="6" width="10.42578125" customWidth="1"/>
    <col min="8" max="9" width="10.7109375" bestFit="1" customWidth="1"/>
    <col min="10" max="10" width="15.28515625" customWidth="1"/>
    <col min="11" max="11" width="11.5703125" customWidth="1"/>
  </cols>
  <sheetData>
    <row r="1" spans="2:11" s="4" customFormat="1" x14ac:dyDescent="0.25">
      <c r="D1" s="4" t="s">
        <v>56</v>
      </c>
    </row>
    <row r="2" spans="2:11" s="5" customFormat="1" x14ac:dyDescent="0.25">
      <c r="B2" s="5" t="s">
        <v>57</v>
      </c>
      <c r="C2" s="5" t="s">
        <v>58</v>
      </c>
      <c r="F2" s="5" t="s">
        <v>59</v>
      </c>
      <c r="H2" s="5" t="s">
        <v>60</v>
      </c>
      <c r="I2" s="5" t="s">
        <v>61</v>
      </c>
      <c r="J2" s="5" t="s">
        <v>62</v>
      </c>
      <c r="K2" s="5" t="s">
        <v>63</v>
      </c>
    </row>
    <row r="3" spans="2:11" x14ac:dyDescent="0.25">
      <c r="B3" s="3">
        <v>46365</v>
      </c>
      <c r="C3" s="3">
        <f ca="1">TODAY()</f>
        <v>46316</v>
      </c>
      <c r="D3">
        <f ca="1">B3-C3</f>
        <v>49</v>
      </c>
      <c r="F3">
        <f>YEAR(B3)</f>
        <v>2026</v>
      </c>
      <c r="H3" s="3">
        <f ca="1">EDATE(C3,3)</f>
        <v>46408</v>
      </c>
      <c r="I3" s="3">
        <f ca="1">EOMONTH(C3,0)</f>
        <v>46326</v>
      </c>
      <c r="J3">
        <f ca="1">NETWORKDAYS(C3,"12/31/2026")</f>
        <v>52</v>
      </c>
      <c r="K3" s="3">
        <f ca="1">WORKDAY(C3,10)</f>
        <v>46330</v>
      </c>
    </row>
    <row r="4" spans="2:11" x14ac:dyDescent="0.25">
      <c r="B4" s="3">
        <v>46150</v>
      </c>
      <c r="C4" s="3">
        <f ca="1">NOW()</f>
        <v>46316.872242939811</v>
      </c>
      <c r="F4">
        <f>MONTH(B3)</f>
        <v>12</v>
      </c>
    </row>
    <row r="5" spans="2:11" x14ac:dyDescent="0.25">
      <c r="B5" s="3" t="s">
        <v>64</v>
      </c>
      <c r="C5" s="3"/>
      <c r="F5">
        <f>DAY(B3)</f>
        <v>9</v>
      </c>
    </row>
    <row r="6" spans="2:11" x14ac:dyDescent="0.25">
      <c r="B6" s="3" t="s">
        <v>65</v>
      </c>
      <c r="C6" s="3"/>
      <c r="F6">
        <f ca="1">WEEKNUM(C3)</f>
        <v>43</v>
      </c>
    </row>
    <row r="7" spans="2:11" x14ac:dyDescent="0.25">
      <c r="B7" s="3">
        <v>46119</v>
      </c>
      <c r="C7" s="3"/>
      <c r="F7">
        <f ca="1">WEEKDAY(C3,2)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Text Functions</vt:lpstr>
      <vt:lpstr>Date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2026-10-07T08:11:44Z</dcterms:created>
  <dcterms:modified xsi:type="dcterms:W3CDTF">2026-10-21T19:57:15Z</dcterms:modified>
</cp:coreProperties>
</file>